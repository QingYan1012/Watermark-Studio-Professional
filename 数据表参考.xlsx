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Desktop\新建文件夹 (26)\"/>
    </mc:Choice>
  </mc:AlternateContent>
  <xr:revisionPtr revIDLastSave="0" documentId="13_ncr:1_{97CB980B-A2DB-4113-BAB5-E03F22D7997C}" xr6:coauthVersionLast="47" xr6:coauthVersionMax="47" xr10:uidLastSave="{00000000-0000-0000-0000-000000000000}"/>
  <bookViews>
    <workbookView xWindow="2560" yWindow="900" windowWidth="23040" windowHeight="14380" tabRatio="500" xr2:uid="{00000000-000D-0000-FFFF-FFFF00000000}"/>
  </bookViews>
  <sheets>
    <sheet name="数据表" sheetId="1" r:id="rId1"/>
    <sheet name="填写说明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1" l="1"/>
  <c r="F5" i="1" s="1"/>
  <c r="E4" i="1"/>
  <c r="E3" i="1"/>
  <c r="E6" i="1"/>
  <c r="F6" i="1"/>
  <c r="E56" i="1"/>
  <c r="F10" i="1"/>
  <c r="E10" i="1" s="1"/>
  <c r="F9" i="1" s="1"/>
  <c r="E9" i="1" s="1"/>
  <c r="F8" i="1" s="1"/>
  <c r="E8" i="1" s="1"/>
  <c r="F7" i="1" s="1"/>
  <c r="E7" i="1" s="1"/>
  <c r="E11" i="1"/>
  <c r="F11" i="1"/>
  <c r="F55" i="1"/>
  <c r="E55" i="1" s="1"/>
  <c r="F54" i="1" s="1"/>
  <c r="E54" i="1" s="1"/>
  <c r="F53" i="1" s="1"/>
  <c r="E53" i="1" s="1"/>
  <c r="F52" i="1" s="1"/>
  <c r="E52" i="1" s="1"/>
  <c r="F51" i="1" s="1"/>
  <c r="E51" i="1" s="1"/>
  <c r="F50" i="1" s="1"/>
  <c r="E50" i="1" s="1"/>
  <c r="F49" i="1" s="1"/>
  <c r="E49" i="1" s="1"/>
  <c r="F48" i="1" s="1"/>
  <c r="E48" i="1" l="1"/>
  <c r="F47" i="1" s="1"/>
  <c r="E47" i="1" s="1"/>
  <c r="F46" i="1" s="1"/>
  <c r="E46" i="1" s="1"/>
  <c r="F45" i="1" s="1"/>
  <c r="E45" i="1" s="1"/>
  <c r="F44" i="1" s="1"/>
  <c r="E44" i="1" s="1"/>
  <c r="F43" i="1" s="1"/>
  <c r="E43" i="1" s="1"/>
  <c r="F42" i="1" s="1"/>
  <c r="E42" i="1" s="1"/>
  <c r="F41" i="1" s="1"/>
  <c r="E41" i="1" s="1"/>
  <c r="F40" i="1" s="1"/>
  <c r="E40" i="1" s="1"/>
  <c r="F39" i="1" s="1"/>
  <c r="E39" i="1" s="1"/>
  <c r="F38" i="1" s="1"/>
  <c r="E38" i="1" s="1"/>
  <c r="F37" i="1" s="1"/>
  <c r="E37" i="1" s="1"/>
  <c r="F36" i="1" s="1"/>
  <c r="E36" i="1" s="1"/>
  <c r="F35" i="1" s="1"/>
  <c r="E35" i="1" s="1"/>
  <c r="F34" i="1" s="1"/>
  <c r="E34" i="1" s="1"/>
  <c r="F33" i="1" s="1"/>
  <c r="E33" i="1" s="1"/>
  <c r="F32" i="1" s="1"/>
  <c r="E32" i="1" s="1"/>
  <c r="F31" i="1" s="1"/>
  <c r="E31" i="1" s="1"/>
  <c r="F30" i="1" s="1"/>
  <c r="E30" i="1" s="1"/>
  <c r="F29" i="1" s="1"/>
  <c r="E29" i="1" s="1"/>
  <c r="F28" i="1" s="1"/>
  <c r="E28" i="1" s="1"/>
  <c r="F27" i="1" s="1"/>
  <c r="E27" i="1" s="1"/>
  <c r="F26" i="1" s="1"/>
  <c r="E26" i="1" s="1"/>
  <c r="F25" i="1" s="1"/>
  <c r="E25" i="1" s="1"/>
  <c r="F24" i="1" s="1"/>
  <c r="E24" i="1" s="1"/>
  <c r="F23" i="1" s="1"/>
  <c r="E23" i="1" s="1"/>
  <c r="F22" i="1" s="1"/>
  <c r="E22" i="1" s="1"/>
  <c r="F21" i="1" s="1"/>
  <c r="E21" i="1" s="1"/>
  <c r="F20" i="1" s="1"/>
  <c r="E20" i="1" s="1"/>
  <c r="F19" i="1" s="1"/>
  <c r="E19" i="1" s="1"/>
  <c r="F18" i="1" s="1"/>
  <c r="E18" i="1" s="1"/>
  <c r="F17" i="1" s="1"/>
  <c r="E17" i="1" s="1"/>
  <c r="F16" i="1" s="1"/>
  <c r="E16" i="1" s="1"/>
  <c r="F15" i="1" s="1"/>
  <c r="E15" i="1" s="1"/>
  <c r="F14" i="1" s="1"/>
  <c r="E14" i="1" s="1"/>
  <c r="F13" i="1" s="1"/>
  <c r="E12" i="1" s="1"/>
</calcChain>
</file>

<file path=xl/sharedStrings.xml><?xml version="1.0" encoding="utf-8"?>
<sst xmlns="http://schemas.openxmlformats.org/spreadsheetml/2006/main" count="183" uniqueCount="72">
  <si>
    <t>文件名</t>
  </si>
  <si>
    <t>矿名</t>
  </si>
  <si>
    <t>钻孔编号</t>
  </si>
  <si>
    <t>箱数</t>
  </si>
  <si>
    <r>
      <rPr>
        <b/>
        <sz val="11"/>
        <color rgb="FFFFFFFF"/>
        <rFont val="Noto Sans CJK SC"/>
        <family val="2"/>
      </rPr>
      <t>孔深止</t>
    </r>
    <r>
      <rPr>
        <b/>
        <sz val="11"/>
        <color rgb="FFFFFFFF"/>
        <rFont val="Arial"/>
        <family val="2"/>
      </rPr>
      <t>(m)</t>
    </r>
  </si>
  <si>
    <t>龙山铜多金属矿</t>
  </si>
  <si>
    <t>列名</t>
  </si>
  <si>
    <t>说明</t>
  </si>
  <si>
    <t>需与图片实际文件名完全一致（含后缀），软件按此列匹配对应图片</t>
  </si>
  <si>
    <r>
      <rPr>
        <sz val="11"/>
        <rFont val="Noto Sans CJK SC"/>
        <family val="2"/>
      </rPr>
      <t xml:space="preserve">对应导出规则中的 </t>
    </r>
    <r>
      <rPr>
        <sz val="11"/>
        <rFont val="Arial"/>
        <family val="2"/>
      </rPr>
      <t>{</t>
    </r>
    <r>
      <rPr>
        <sz val="11"/>
        <rFont val="Noto Sans CJK SC"/>
        <family val="2"/>
      </rPr>
      <t>矿名</t>
    </r>
    <r>
      <rPr>
        <sz val="11"/>
        <rFont val="Arial"/>
        <family val="2"/>
      </rPr>
      <t xml:space="preserve">} </t>
    </r>
    <r>
      <rPr>
        <sz val="11"/>
        <rFont val="Noto Sans CJK SC"/>
        <family val="2"/>
      </rPr>
      <t>占位符</t>
    </r>
  </si>
  <si>
    <r>
      <rPr>
        <sz val="11"/>
        <rFont val="Noto Sans CJK SC"/>
        <family val="2"/>
      </rPr>
      <t xml:space="preserve">对应导出规则中的 </t>
    </r>
    <r>
      <rPr>
        <sz val="11"/>
        <rFont val="Arial"/>
        <family val="2"/>
      </rPr>
      <t>{</t>
    </r>
    <r>
      <rPr>
        <sz val="11"/>
        <rFont val="Noto Sans CJK SC"/>
        <family val="2"/>
      </rPr>
      <t>钻孔编号</t>
    </r>
    <r>
      <rPr>
        <sz val="11"/>
        <rFont val="Arial"/>
        <family val="2"/>
      </rPr>
      <t xml:space="preserve">} </t>
    </r>
    <r>
      <rPr>
        <sz val="11"/>
        <rFont val="Noto Sans CJK SC"/>
        <family val="2"/>
      </rPr>
      <t xml:space="preserve">占位符，如 </t>
    </r>
    <r>
      <rPr>
        <sz val="11"/>
        <rFont val="Arial"/>
        <family val="2"/>
      </rPr>
      <t>ZK805</t>
    </r>
  </si>
  <si>
    <r>
      <rPr>
        <sz val="11"/>
        <rFont val="Noto Sans CJK SC"/>
        <family val="2"/>
      </rPr>
      <t xml:space="preserve">对应导出规则中的 </t>
    </r>
    <r>
      <rPr>
        <sz val="11"/>
        <rFont val="Arial"/>
        <family val="2"/>
      </rPr>
      <t>{</t>
    </r>
    <r>
      <rPr>
        <sz val="11"/>
        <rFont val="Noto Sans CJK SC"/>
        <family val="2"/>
      </rPr>
      <t>箱数</t>
    </r>
    <r>
      <rPr>
        <sz val="11"/>
        <rFont val="Arial"/>
        <family val="2"/>
      </rPr>
      <t xml:space="preserve">} </t>
    </r>
    <r>
      <rPr>
        <sz val="11"/>
        <rFont val="Noto Sans CJK SC"/>
        <family val="2"/>
      </rPr>
      <t xml:space="preserve">占位符，如 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箱</t>
    </r>
  </si>
  <si>
    <r>
      <rPr>
        <sz val="11"/>
        <rFont val="Noto Sans CJK SC"/>
        <family val="2"/>
      </rPr>
      <t>分开填写数值，软件读取表格时可自动拼接为“</t>
    </r>
    <r>
      <rPr>
        <sz val="11"/>
        <rFont val="Arial"/>
        <family val="2"/>
      </rPr>
      <t>0-6.55m”</t>
    </r>
    <r>
      <rPr>
        <sz val="11"/>
        <rFont val="Noto Sans CJK SC"/>
        <family val="2"/>
      </rPr>
      <t>这样的深度文本</t>
    </r>
  </si>
  <si>
    <r>
      <rPr>
        <sz val="11"/>
        <rFont val="微软雅黑"/>
        <family val="2"/>
        <charset val="134"/>
      </rPr>
      <t>孔深起</t>
    </r>
    <r>
      <rPr>
        <sz val="11"/>
        <rFont val="Arial"/>
        <family val="2"/>
      </rPr>
      <t>(m)/</t>
    </r>
    <r>
      <rPr>
        <sz val="11"/>
        <rFont val="微软雅黑"/>
        <family val="2"/>
        <charset val="134"/>
      </rPr>
      <t>孔深止</t>
    </r>
    <r>
      <rPr>
        <sz val="11"/>
        <rFont val="Arial"/>
        <family val="2"/>
      </rPr>
      <t>(m)</t>
    </r>
    <phoneticPr fontId="6" type="noConversion"/>
  </si>
  <si>
    <r>
      <rPr>
        <b/>
        <sz val="11"/>
        <color rgb="FFFFFFFF"/>
        <rFont val="微软雅黑"/>
        <family val="2"/>
        <charset val="134"/>
      </rPr>
      <t>孔深起</t>
    </r>
    <r>
      <rPr>
        <b/>
        <sz val="11"/>
        <color rgb="FFFFFFFF"/>
        <rFont val="Arial"/>
        <family val="2"/>
      </rPr>
      <t>(m)</t>
    </r>
    <phoneticPr fontId="6" type="noConversion"/>
  </si>
  <si>
    <r>
      <t>1-</t>
    </r>
    <r>
      <rPr>
        <sz val="11"/>
        <rFont val="微软雅黑"/>
        <family val="2"/>
        <charset val="134"/>
      </rPr>
      <t>未識別深度</t>
    </r>
    <r>
      <rPr>
        <sz val="11"/>
        <rFont val="Arial"/>
        <family val="2"/>
      </rPr>
      <t>m.jpg</t>
    </r>
    <phoneticPr fontId="6" type="noConversion"/>
  </si>
  <si>
    <r>
      <t>2-未識別深度m.jpg</t>
    </r>
    <r>
      <rPr>
        <sz val="11"/>
        <rFont val="Arial"/>
        <family val="2"/>
      </rPr>
      <t/>
    </r>
  </si>
  <si>
    <r>
      <t>3-未識別深度m.jpg</t>
    </r>
    <r>
      <rPr>
        <sz val="11"/>
        <rFont val="Arial"/>
        <family val="2"/>
      </rPr>
      <t/>
    </r>
  </si>
  <si>
    <r>
      <t>4-未識別深度m.jpg</t>
    </r>
    <r>
      <rPr>
        <sz val="11"/>
        <rFont val="Arial"/>
        <family val="2"/>
      </rPr>
      <t/>
    </r>
  </si>
  <si>
    <r>
      <t>5-未識別深度m.jpg</t>
    </r>
    <r>
      <rPr>
        <sz val="11"/>
        <rFont val="Arial"/>
        <family val="2"/>
      </rPr>
      <t/>
    </r>
  </si>
  <si>
    <r>
      <t>6-未識別深度m.jpg</t>
    </r>
    <r>
      <rPr>
        <sz val="11"/>
        <rFont val="Arial"/>
        <family val="2"/>
      </rPr>
      <t/>
    </r>
  </si>
  <si>
    <r>
      <t>7-未識別深度m.jpg</t>
    </r>
    <r>
      <rPr>
        <sz val="11"/>
        <rFont val="Arial"/>
        <family val="2"/>
      </rPr>
      <t/>
    </r>
  </si>
  <si>
    <r>
      <t>8-未識別深度m.jpg</t>
    </r>
    <r>
      <rPr>
        <sz val="11"/>
        <rFont val="Arial"/>
        <family val="2"/>
      </rPr>
      <t/>
    </r>
  </si>
  <si>
    <r>
      <t>9-未識別深度m.jpg</t>
    </r>
    <r>
      <rPr>
        <sz val="11"/>
        <rFont val="Arial"/>
        <family val="2"/>
      </rPr>
      <t/>
    </r>
  </si>
  <si>
    <r>
      <t>10-未識別深度m.jpg</t>
    </r>
    <r>
      <rPr>
        <sz val="11"/>
        <rFont val="Arial"/>
        <family val="2"/>
      </rPr>
      <t/>
    </r>
  </si>
  <si>
    <r>
      <t>11-未識別深度m.jpg</t>
    </r>
    <r>
      <rPr>
        <sz val="11"/>
        <rFont val="Arial"/>
        <family val="2"/>
      </rPr>
      <t/>
    </r>
  </si>
  <si>
    <r>
      <t>12-未識別深度m.jpg</t>
    </r>
    <r>
      <rPr>
        <sz val="11"/>
        <rFont val="Arial"/>
        <family val="2"/>
      </rPr>
      <t/>
    </r>
  </si>
  <si>
    <r>
      <t>13-未識別深度m.jpg</t>
    </r>
    <r>
      <rPr>
        <sz val="11"/>
        <rFont val="Arial"/>
        <family val="2"/>
      </rPr>
      <t/>
    </r>
  </si>
  <si>
    <r>
      <t>14-未識別深度m.jpg</t>
    </r>
    <r>
      <rPr>
        <sz val="11"/>
        <rFont val="Arial"/>
        <family val="2"/>
      </rPr>
      <t/>
    </r>
  </si>
  <si>
    <r>
      <t>15-未識別深度m.jpg</t>
    </r>
    <r>
      <rPr>
        <sz val="11"/>
        <rFont val="Arial"/>
        <family val="2"/>
      </rPr>
      <t/>
    </r>
  </si>
  <si>
    <r>
      <t>16-未識別深度m.jpg</t>
    </r>
    <r>
      <rPr>
        <sz val="11"/>
        <rFont val="Arial"/>
        <family val="2"/>
      </rPr>
      <t/>
    </r>
  </si>
  <si>
    <r>
      <t>17-未識別深度m.jpg</t>
    </r>
    <r>
      <rPr>
        <sz val="11"/>
        <rFont val="Arial"/>
        <family val="2"/>
      </rPr>
      <t/>
    </r>
  </si>
  <si>
    <r>
      <t>18-未識別深度m.jpg</t>
    </r>
    <r>
      <rPr>
        <sz val="11"/>
        <rFont val="Arial"/>
        <family val="2"/>
      </rPr>
      <t/>
    </r>
  </si>
  <si>
    <r>
      <t>19-未識別深度m.jpg</t>
    </r>
    <r>
      <rPr>
        <sz val="11"/>
        <rFont val="Arial"/>
        <family val="2"/>
      </rPr>
      <t/>
    </r>
  </si>
  <si>
    <r>
      <t>20-未識別深度m.jpg</t>
    </r>
    <r>
      <rPr>
        <sz val="11"/>
        <rFont val="Arial"/>
        <family val="2"/>
      </rPr>
      <t/>
    </r>
  </si>
  <si>
    <r>
      <t>21-未識別深度m.jpg</t>
    </r>
    <r>
      <rPr>
        <sz val="11"/>
        <rFont val="Arial"/>
        <family val="2"/>
      </rPr>
      <t/>
    </r>
  </si>
  <si>
    <r>
      <t>22-未識別深度m.jpg</t>
    </r>
    <r>
      <rPr>
        <sz val="11"/>
        <rFont val="Arial"/>
        <family val="2"/>
      </rPr>
      <t/>
    </r>
  </si>
  <si>
    <r>
      <t>23-未識別深度m.jpg</t>
    </r>
    <r>
      <rPr>
        <sz val="11"/>
        <rFont val="Arial"/>
        <family val="2"/>
      </rPr>
      <t/>
    </r>
  </si>
  <si>
    <r>
      <t>24-未識別深度m.jpg</t>
    </r>
    <r>
      <rPr>
        <sz val="11"/>
        <rFont val="Arial"/>
        <family val="2"/>
      </rPr>
      <t/>
    </r>
  </si>
  <si>
    <r>
      <t>25-未識別深度m.jpg</t>
    </r>
    <r>
      <rPr>
        <sz val="11"/>
        <rFont val="Arial"/>
        <family val="2"/>
      </rPr>
      <t/>
    </r>
  </si>
  <si>
    <r>
      <t>26-未識別深度m.jpg</t>
    </r>
    <r>
      <rPr>
        <sz val="11"/>
        <rFont val="Arial"/>
        <family val="2"/>
      </rPr>
      <t/>
    </r>
  </si>
  <si>
    <r>
      <t>27-未識別深度m.jpg</t>
    </r>
    <r>
      <rPr>
        <sz val="11"/>
        <rFont val="Arial"/>
        <family val="2"/>
      </rPr>
      <t/>
    </r>
  </si>
  <si>
    <r>
      <t>28-未識別深度m.jpg</t>
    </r>
    <r>
      <rPr>
        <sz val="11"/>
        <rFont val="Arial"/>
        <family val="2"/>
      </rPr>
      <t/>
    </r>
  </si>
  <si>
    <r>
      <t>29-未識別深度m.jpg</t>
    </r>
    <r>
      <rPr>
        <sz val="11"/>
        <rFont val="Arial"/>
        <family val="2"/>
      </rPr>
      <t/>
    </r>
  </si>
  <si>
    <r>
      <t>30-未識別深度m.jpg</t>
    </r>
    <r>
      <rPr>
        <sz val="11"/>
        <rFont val="Arial"/>
        <family val="2"/>
      </rPr>
      <t/>
    </r>
  </si>
  <si>
    <r>
      <t>31-未識別深度m.jpg</t>
    </r>
    <r>
      <rPr>
        <sz val="11"/>
        <rFont val="Arial"/>
        <family val="2"/>
      </rPr>
      <t/>
    </r>
  </si>
  <si>
    <r>
      <t>32-未識別深度m.jpg</t>
    </r>
    <r>
      <rPr>
        <sz val="11"/>
        <rFont val="Arial"/>
        <family val="2"/>
      </rPr>
      <t/>
    </r>
  </si>
  <si>
    <r>
      <t>33-未識別深度m.jpg</t>
    </r>
    <r>
      <rPr>
        <sz val="11"/>
        <rFont val="Arial"/>
        <family val="2"/>
      </rPr>
      <t/>
    </r>
  </si>
  <si>
    <r>
      <t>34-未識別深度m.jpg</t>
    </r>
    <r>
      <rPr>
        <sz val="11"/>
        <rFont val="Arial"/>
        <family val="2"/>
      </rPr>
      <t/>
    </r>
  </si>
  <si>
    <r>
      <t>35-未識別深度m.jpg</t>
    </r>
    <r>
      <rPr>
        <sz val="11"/>
        <rFont val="Arial"/>
        <family val="2"/>
      </rPr>
      <t/>
    </r>
  </si>
  <si>
    <r>
      <t>36-未識別深度m.jpg</t>
    </r>
    <r>
      <rPr>
        <sz val="11"/>
        <rFont val="Arial"/>
        <family val="2"/>
      </rPr>
      <t/>
    </r>
  </si>
  <si>
    <r>
      <t>37-未識別深度m.jpg</t>
    </r>
    <r>
      <rPr>
        <sz val="11"/>
        <rFont val="Arial"/>
        <family val="2"/>
      </rPr>
      <t/>
    </r>
  </si>
  <si>
    <r>
      <t>38-未識別深度m.jpg</t>
    </r>
    <r>
      <rPr>
        <sz val="11"/>
        <rFont val="Arial"/>
        <family val="2"/>
      </rPr>
      <t/>
    </r>
  </si>
  <si>
    <r>
      <t>39-未識別深度m.jpg</t>
    </r>
    <r>
      <rPr>
        <sz val="11"/>
        <rFont val="Arial"/>
        <family val="2"/>
      </rPr>
      <t/>
    </r>
  </si>
  <si>
    <r>
      <t>40-未識別深度m.jpg</t>
    </r>
    <r>
      <rPr>
        <sz val="11"/>
        <rFont val="Arial"/>
        <family val="2"/>
      </rPr>
      <t/>
    </r>
  </si>
  <si>
    <r>
      <t>41-未識別深度m.jpg</t>
    </r>
    <r>
      <rPr>
        <sz val="11"/>
        <rFont val="Arial"/>
        <family val="2"/>
      </rPr>
      <t/>
    </r>
  </si>
  <si>
    <r>
      <t>42-未識別深度m.jpg</t>
    </r>
    <r>
      <rPr>
        <sz val="11"/>
        <rFont val="Arial"/>
        <family val="2"/>
      </rPr>
      <t/>
    </r>
  </si>
  <si>
    <r>
      <t>43-未識別深度m.jpg</t>
    </r>
    <r>
      <rPr>
        <sz val="11"/>
        <rFont val="Arial"/>
        <family val="2"/>
      </rPr>
      <t/>
    </r>
  </si>
  <si>
    <r>
      <t>44-未識別深度m.jpg</t>
    </r>
    <r>
      <rPr>
        <sz val="11"/>
        <rFont val="Arial"/>
        <family val="2"/>
      </rPr>
      <t/>
    </r>
  </si>
  <si>
    <r>
      <t>45-未識別深度m.jpg</t>
    </r>
    <r>
      <rPr>
        <sz val="11"/>
        <rFont val="Arial"/>
        <family val="2"/>
      </rPr>
      <t/>
    </r>
  </si>
  <si>
    <r>
      <t>46-未識別深度m.jpg</t>
    </r>
    <r>
      <rPr>
        <sz val="11"/>
        <rFont val="Arial"/>
        <family val="2"/>
      </rPr>
      <t/>
    </r>
  </si>
  <si>
    <r>
      <t>47-未識別深度m.jpg</t>
    </r>
    <r>
      <rPr>
        <sz val="11"/>
        <rFont val="Arial"/>
        <family val="2"/>
      </rPr>
      <t/>
    </r>
  </si>
  <si>
    <r>
      <t>48-未識別深度m.jpg</t>
    </r>
    <r>
      <rPr>
        <sz val="11"/>
        <rFont val="Arial"/>
        <family val="2"/>
      </rPr>
      <t/>
    </r>
  </si>
  <si>
    <r>
      <t>49-未識別深度m.jpg</t>
    </r>
    <r>
      <rPr>
        <sz val="11"/>
        <rFont val="Arial"/>
        <family val="2"/>
      </rPr>
      <t/>
    </r>
  </si>
  <si>
    <r>
      <t>50-未識別深度m.jpg</t>
    </r>
    <r>
      <rPr>
        <sz val="11"/>
        <rFont val="Arial"/>
        <family val="2"/>
      </rPr>
      <t/>
    </r>
  </si>
  <si>
    <r>
      <t>51-未識別深度m.jpg</t>
    </r>
    <r>
      <rPr>
        <sz val="11"/>
        <rFont val="Arial"/>
        <family val="2"/>
      </rPr>
      <t/>
    </r>
  </si>
  <si>
    <r>
      <t>52-未識別深度m.jpg</t>
    </r>
    <r>
      <rPr>
        <sz val="11"/>
        <rFont val="Arial"/>
        <family val="2"/>
      </rPr>
      <t/>
    </r>
  </si>
  <si>
    <r>
      <t>53-未識別深度m.jpg</t>
    </r>
    <r>
      <rPr>
        <sz val="11"/>
        <rFont val="Arial"/>
        <family val="2"/>
      </rPr>
      <t/>
    </r>
  </si>
  <si>
    <r>
      <t>54-未識別深度m.jpg</t>
    </r>
    <r>
      <rPr>
        <sz val="11"/>
        <rFont val="Arial"/>
        <family val="2"/>
      </rPr>
      <t/>
    </r>
  </si>
  <si>
    <r>
      <t>55-未識別深度m.jpg</t>
    </r>
    <r>
      <rPr>
        <sz val="11"/>
        <rFont val="Arial"/>
        <family val="2"/>
      </rPr>
      <t/>
    </r>
  </si>
  <si>
    <t>ZK805</t>
  </si>
  <si>
    <t>ZK805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</si>
</sst>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1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name val="Noto Sans CJK SC"/>
      <family val="2"/>
    </font>
    <font>
      <b/>
      <sz val="11"/>
      <name val="Noto Sans CJK SC"/>
      <family val="2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Noto Sans CJK SC"/>
      <family val="2"/>
      <charset val="134"/>
    </font>
    <font>
      <b/>
      <sz val="11"/>
      <color rgb="FFFFFFFF"/>
      <name val="微软雅黑"/>
      <family val="2"/>
      <charset val="134"/>
    </font>
    <font>
      <b/>
      <sz val="11"/>
      <color rgb="FFFFFFFF"/>
      <name val="Noto Sans CJK SC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8" fillId="0" borderId="0" xfId="0" applyFont="1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0" fillId="2" borderId="0" xfId="0" applyFont="1" applyFill="1" applyAlignment="1">
      <alignment horizontal="center" vertical="center"/>
    </xf>
    <xf numFmtId="176" fontId="3" fillId="3" borderId="0" xfId="0" applyNumberFormat="1" applyFont="1" applyFill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zoomScaleNormal="100" workbookViewId="0">
      <selection activeCell="K8" sqref="K8:K9"/>
    </sheetView>
  </sheetViews>
  <sheetFormatPr defaultColWidth="8.6328125" defaultRowHeight="14.5"/>
  <cols>
    <col min="1" max="1" width="30" style="7" customWidth="1"/>
    <col min="2" max="2" width="20" style="7" customWidth="1"/>
    <col min="3" max="3" width="12" style="7" customWidth="1"/>
    <col min="4" max="4" width="10" style="7" customWidth="1"/>
    <col min="5" max="6" width="12" style="10" customWidth="1"/>
  </cols>
  <sheetData>
    <row r="1" spans="1:6" ht="16.5">
      <c r="A1" s="1" t="s">
        <v>0</v>
      </c>
      <c r="B1" s="1" t="s">
        <v>1</v>
      </c>
      <c r="C1" s="1" t="s">
        <v>2</v>
      </c>
      <c r="D1" s="1" t="s">
        <v>3</v>
      </c>
      <c r="E1" s="8" t="s">
        <v>14</v>
      </c>
      <c r="F1" s="1" t="s">
        <v>4</v>
      </c>
    </row>
    <row r="2" spans="1:6" ht="16.5">
      <c r="A2" s="5" t="s">
        <v>15</v>
      </c>
      <c r="B2" s="6" t="s">
        <v>5</v>
      </c>
      <c r="C2" s="5" t="s">
        <v>71</v>
      </c>
      <c r="D2" s="5">
        <v>1</v>
      </c>
      <c r="E2" s="9">
        <v>0</v>
      </c>
      <c r="F2" s="9">
        <v>6.55</v>
      </c>
    </row>
    <row r="3" spans="1:6">
      <c r="A3" s="5" t="s">
        <v>16</v>
      </c>
      <c r="B3" s="6" t="s">
        <v>5</v>
      </c>
      <c r="C3" s="5" t="s">
        <v>71</v>
      </c>
      <c r="D3" s="5">
        <v>2</v>
      </c>
      <c r="E3" s="9">
        <f>F2</f>
        <v>6.55</v>
      </c>
      <c r="F3" s="9">
        <v>13.6</v>
      </c>
    </row>
    <row r="4" spans="1:6">
      <c r="A4" s="5" t="s">
        <v>17</v>
      </c>
      <c r="B4" s="6" t="s">
        <v>5</v>
      </c>
      <c r="C4" s="5" t="s">
        <v>71</v>
      </c>
      <c r="D4" s="5">
        <v>3</v>
      </c>
      <c r="E4" s="9">
        <f t="shared" ref="E4:E5" si="0">F3</f>
        <v>13.6</v>
      </c>
      <c r="F4" s="9">
        <v>19.600000000000001</v>
      </c>
    </row>
    <row r="5" spans="1:6">
      <c r="A5" s="5" t="s">
        <v>18</v>
      </c>
      <c r="B5" s="6" t="s">
        <v>5</v>
      </c>
      <c r="C5" s="5" t="s">
        <v>71</v>
      </c>
      <c r="D5" s="5">
        <v>4</v>
      </c>
      <c r="E5" s="9">
        <f t="shared" si="0"/>
        <v>19.600000000000001</v>
      </c>
      <c r="F5" s="9">
        <f t="shared" ref="F5" si="1">E5+7</f>
        <v>26.6</v>
      </c>
    </row>
    <row r="6" spans="1:6">
      <c r="A6" s="5" t="s">
        <v>19</v>
      </c>
      <c r="B6" s="6" t="s">
        <v>5</v>
      </c>
      <c r="C6" s="5" t="s">
        <v>71</v>
      </c>
      <c r="D6" s="5">
        <v>5</v>
      </c>
      <c r="E6" s="9">
        <f>F6-7</f>
        <v>25.569999999999993</v>
      </c>
      <c r="F6" s="9">
        <f t="shared" ref="F4:F10" si="2">E7</f>
        <v>32.569999999999993</v>
      </c>
    </row>
    <row r="7" spans="1:6">
      <c r="A7" s="5" t="s">
        <v>20</v>
      </c>
      <c r="B7" s="6" t="s">
        <v>5</v>
      </c>
      <c r="C7" s="5" t="s">
        <v>71</v>
      </c>
      <c r="D7" s="5">
        <v>6</v>
      </c>
      <c r="E7" s="9">
        <f t="shared" ref="E6:E10" si="3">F7-7</f>
        <v>32.569999999999993</v>
      </c>
      <c r="F7" s="9">
        <f t="shared" si="2"/>
        <v>39.569999999999993</v>
      </c>
    </row>
    <row r="8" spans="1:6">
      <c r="A8" s="5" t="s">
        <v>21</v>
      </c>
      <c r="B8" s="6" t="s">
        <v>5</v>
      </c>
      <c r="C8" s="5" t="s">
        <v>71</v>
      </c>
      <c r="D8" s="5">
        <v>7</v>
      </c>
      <c r="E8" s="9">
        <f t="shared" si="3"/>
        <v>39.569999999999993</v>
      </c>
      <c r="F8" s="9">
        <f t="shared" si="2"/>
        <v>46.569999999999993</v>
      </c>
    </row>
    <row r="9" spans="1:6">
      <c r="A9" s="5" t="s">
        <v>22</v>
      </c>
      <c r="B9" s="6" t="s">
        <v>5</v>
      </c>
      <c r="C9" s="5" t="s">
        <v>71</v>
      </c>
      <c r="D9" s="5">
        <v>8</v>
      </c>
      <c r="E9" s="9">
        <f t="shared" si="3"/>
        <v>46.569999999999993</v>
      </c>
      <c r="F9" s="9">
        <f t="shared" si="2"/>
        <v>53.569999999999993</v>
      </c>
    </row>
    <row r="10" spans="1:6">
      <c r="A10" s="5" t="s">
        <v>23</v>
      </c>
      <c r="B10" s="6" t="s">
        <v>5</v>
      </c>
      <c r="C10" s="5" t="s">
        <v>71</v>
      </c>
      <c r="D10" s="5">
        <v>9</v>
      </c>
      <c r="E10" s="9">
        <f t="shared" si="3"/>
        <v>53.569999999999993</v>
      </c>
      <c r="F10" s="9">
        <f t="shared" si="2"/>
        <v>60.569999999999993</v>
      </c>
    </row>
    <row r="11" spans="1:6">
      <c r="A11" s="5" t="s">
        <v>24</v>
      </c>
      <c r="B11" s="6" t="s">
        <v>5</v>
      </c>
      <c r="C11" s="5" t="s">
        <v>71</v>
      </c>
      <c r="D11" s="5">
        <v>10</v>
      </c>
      <c r="E11" s="9">
        <f>F11-7</f>
        <v>60.569999999999993</v>
      </c>
      <c r="F11" s="9">
        <f>E12</f>
        <v>67.569999999999993</v>
      </c>
    </row>
    <row r="12" spans="1:6">
      <c r="A12" s="5" t="s">
        <v>25</v>
      </c>
      <c r="B12" s="6" t="s">
        <v>5</v>
      </c>
      <c r="C12" s="5" t="s">
        <v>71</v>
      </c>
      <c r="D12" s="5">
        <v>11</v>
      </c>
      <c r="E12" s="9">
        <f t="shared" ref="E12:E54" si="4">F12-7</f>
        <v>67.569999999999993</v>
      </c>
      <c r="F12" s="9">
        <v>74.569999999999993</v>
      </c>
    </row>
    <row r="13" spans="1:6">
      <c r="A13" s="5" t="s">
        <v>26</v>
      </c>
      <c r="B13" s="6" t="s">
        <v>5</v>
      </c>
      <c r="C13" s="5" t="s">
        <v>71</v>
      </c>
      <c r="D13" s="5">
        <v>12</v>
      </c>
      <c r="E13" s="9">
        <v>74.569999999999993</v>
      </c>
      <c r="F13" s="9">
        <f t="shared" ref="F12:F54" si="5">E14</f>
        <v>82.75</v>
      </c>
    </row>
    <row r="14" spans="1:6">
      <c r="A14" s="5" t="s">
        <v>27</v>
      </c>
      <c r="B14" s="6" t="s">
        <v>5</v>
      </c>
      <c r="C14" s="5" t="s">
        <v>71</v>
      </c>
      <c r="D14" s="5">
        <v>13</v>
      </c>
      <c r="E14" s="9">
        <f t="shared" si="4"/>
        <v>82.75</v>
      </c>
      <c r="F14" s="9">
        <f t="shared" si="5"/>
        <v>89.75</v>
      </c>
    </row>
    <row r="15" spans="1:6">
      <c r="A15" s="5" t="s">
        <v>28</v>
      </c>
      <c r="B15" s="6" t="s">
        <v>5</v>
      </c>
      <c r="C15" s="5" t="s">
        <v>71</v>
      </c>
      <c r="D15" s="5">
        <v>14</v>
      </c>
      <c r="E15" s="9">
        <f t="shared" si="4"/>
        <v>89.75</v>
      </c>
      <c r="F15" s="9">
        <f t="shared" si="5"/>
        <v>96.75</v>
      </c>
    </row>
    <row r="16" spans="1:6">
      <c r="A16" s="5" t="s">
        <v>29</v>
      </c>
      <c r="B16" s="6" t="s">
        <v>5</v>
      </c>
      <c r="C16" s="5" t="s">
        <v>71</v>
      </c>
      <c r="D16" s="5">
        <v>15</v>
      </c>
      <c r="E16" s="9">
        <f t="shared" si="4"/>
        <v>96.75</v>
      </c>
      <c r="F16" s="9">
        <f t="shared" si="5"/>
        <v>103.75</v>
      </c>
    </row>
    <row r="17" spans="1:6">
      <c r="A17" s="5" t="s">
        <v>30</v>
      </c>
      <c r="B17" s="6" t="s">
        <v>5</v>
      </c>
      <c r="C17" s="5" t="s">
        <v>71</v>
      </c>
      <c r="D17" s="5">
        <v>16</v>
      </c>
      <c r="E17" s="9">
        <f t="shared" si="4"/>
        <v>103.75</v>
      </c>
      <c r="F17" s="9">
        <f t="shared" si="5"/>
        <v>110.75</v>
      </c>
    </row>
    <row r="18" spans="1:6">
      <c r="A18" s="5" t="s">
        <v>31</v>
      </c>
      <c r="B18" s="6" t="s">
        <v>5</v>
      </c>
      <c r="C18" s="5" t="s">
        <v>70</v>
      </c>
      <c r="D18" s="5">
        <v>17</v>
      </c>
      <c r="E18" s="9">
        <f t="shared" si="4"/>
        <v>110.75</v>
      </c>
      <c r="F18" s="9">
        <f t="shared" si="5"/>
        <v>117.75</v>
      </c>
    </row>
    <row r="19" spans="1:6">
      <c r="A19" s="5" t="s">
        <v>32</v>
      </c>
      <c r="B19" s="6" t="s">
        <v>5</v>
      </c>
      <c r="C19" s="5" t="s">
        <v>70</v>
      </c>
      <c r="D19" s="5">
        <v>18</v>
      </c>
      <c r="E19" s="9">
        <f t="shared" si="4"/>
        <v>117.75</v>
      </c>
      <c r="F19" s="9">
        <f t="shared" si="5"/>
        <v>124.75</v>
      </c>
    </row>
    <row r="20" spans="1:6">
      <c r="A20" s="5" t="s">
        <v>33</v>
      </c>
      <c r="B20" s="6" t="s">
        <v>5</v>
      </c>
      <c r="C20" s="5" t="s">
        <v>70</v>
      </c>
      <c r="D20" s="5">
        <v>19</v>
      </c>
      <c r="E20" s="9">
        <f t="shared" si="4"/>
        <v>124.75</v>
      </c>
      <c r="F20" s="9">
        <f t="shared" si="5"/>
        <v>131.75</v>
      </c>
    </row>
    <row r="21" spans="1:6">
      <c r="A21" s="5" t="s">
        <v>34</v>
      </c>
      <c r="B21" s="6" t="s">
        <v>5</v>
      </c>
      <c r="C21" s="5" t="s">
        <v>70</v>
      </c>
      <c r="D21" s="5">
        <v>20</v>
      </c>
      <c r="E21" s="9">
        <f t="shared" si="4"/>
        <v>131.75</v>
      </c>
      <c r="F21" s="9">
        <f t="shared" si="5"/>
        <v>138.75</v>
      </c>
    </row>
    <row r="22" spans="1:6">
      <c r="A22" s="5" t="s">
        <v>35</v>
      </c>
      <c r="B22" s="6" t="s">
        <v>5</v>
      </c>
      <c r="C22" s="5" t="s">
        <v>70</v>
      </c>
      <c r="D22" s="5">
        <v>21</v>
      </c>
      <c r="E22" s="9">
        <f t="shared" si="4"/>
        <v>138.75</v>
      </c>
      <c r="F22" s="9">
        <f t="shared" si="5"/>
        <v>145.75</v>
      </c>
    </row>
    <row r="23" spans="1:6">
      <c r="A23" s="5" t="s">
        <v>36</v>
      </c>
      <c r="B23" s="6" t="s">
        <v>5</v>
      </c>
      <c r="C23" s="5" t="s">
        <v>70</v>
      </c>
      <c r="D23" s="5">
        <v>22</v>
      </c>
      <c r="E23" s="9">
        <f t="shared" si="4"/>
        <v>145.75</v>
      </c>
      <c r="F23" s="9">
        <f t="shared" si="5"/>
        <v>152.75</v>
      </c>
    </row>
    <row r="24" spans="1:6">
      <c r="A24" s="5" t="s">
        <v>37</v>
      </c>
      <c r="B24" s="6" t="s">
        <v>5</v>
      </c>
      <c r="C24" s="5" t="s">
        <v>70</v>
      </c>
      <c r="D24" s="5">
        <v>23</v>
      </c>
      <c r="E24" s="9">
        <f t="shared" si="4"/>
        <v>152.75</v>
      </c>
      <c r="F24" s="9">
        <f t="shared" si="5"/>
        <v>159.75</v>
      </c>
    </row>
    <row r="25" spans="1:6">
      <c r="A25" s="5" t="s">
        <v>38</v>
      </c>
      <c r="B25" s="6" t="s">
        <v>5</v>
      </c>
      <c r="C25" s="5" t="s">
        <v>70</v>
      </c>
      <c r="D25" s="5">
        <v>24</v>
      </c>
      <c r="E25" s="9">
        <f t="shared" si="4"/>
        <v>159.75</v>
      </c>
      <c r="F25" s="9">
        <f t="shared" si="5"/>
        <v>166.75</v>
      </c>
    </row>
    <row r="26" spans="1:6">
      <c r="A26" s="5" t="s">
        <v>39</v>
      </c>
      <c r="B26" s="6" t="s">
        <v>5</v>
      </c>
      <c r="C26" s="5" t="s">
        <v>70</v>
      </c>
      <c r="D26" s="5">
        <v>25</v>
      </c>
      <c r="E26" s="9">
        <f t="shared" si="4"/>
        <v>166.75</v>
      </c>
      <c r="F26" s="9">
        <f t="shared" si="5"/>
        <v>173.75</v>
      </c>
    </row>
    <row r="27" spans="1:6">
      <c r="A27" s="5" t="s">
        <v>40</v>
      </c>
      <c r="B27" s="6" t="s">
        <v>5</v>
      </c>
      <c r="C27" s="5" t="s">
        <v>70</v>
      </c>
      <c r="D27" s="5">
        <v>26</v>
      </c>
      <c r="E27" s="9">
        <f t="shared" si="4"/>
        <v>173.75</v>
      </c>
      <c r="F27" s="9">
        <f t="shared" si="5"/>
        <v>180.75</v>
      </c>
    </row>
    <row r="28" spans="1:6">
      <c r="A28" s="5" t="s">
        <v>41</v>
      </c>
      <c r="B28" s="6" t="s">
        <v>5</v>
      </c>
      <c r="C28" s="5" t="s">
        <v>70</v>
      </c>
      <c r="D28" s="5">
        <v>27</v>
      </c>
      <c r="E28" s="9">
        <f t="shared" si="4"/>
        <v>180.75</v>
      </c>
      <c r="F28" s="9">
        <f t="shared" si="5"/>
        <v>187.75</v>
      </c>
    </row>
    <row r="29" spans="1:6">
      <c r="A29" s="5" t="s">
        <v>42</v>
      </c>
      <c r="B29" s="6" t="s">
        <v>5</v>
      </c>
      <c r="C29" s="5" t="s">
        <v>70</v>
      </c>
      <c r="D29" s="5">
        <v>28</v>
      </c>
      <c r="E29" s="9">
        <f t="shared" si="4"/>
        <v>187.75</v>
      </c>
      <c r="F29" s="9">
        <f t="shared" si="5"/>
        <v>194.75</v>
      </c>
    </row>
    <row r="30" spans="1:6">
      <c r="A30" s="5" t="s">
        <v>43</v>
      </c>
      <c r="B30" s="6" t="s">
        <v>5</v>
      </c>
      <c r="C30" s="5" t="s">
        <v>70</v>
      </c>
      <c r="D30" s="5">
        <v>29</v>
      </c>
      <c r="E30" s="9">
        <f t="shared" si="4"/>
        <v>194.75</v>
      </c>
      <c r="F30" s="9">
        <f t="shared" si="5"/>
        <v>201.75</v>
      </c>
    </row>
    <row r="31" spans="1:6">
      <c r="A31" s="5" t="s">
        <v>44</v>
      </c>
      <c r="B31" s="6" t="s">
        <v>5</v>
      </c>
      <c r="C31" s="5" t="s">
        <v>70</v>
      </c>
      <c r="D31" s="5">
        <v>30</v>
      </c>
      <c r="E31" s="9">
        <f t="shared" si="4"/>
        <v>201.75</v>
      </c>
      <c r="F31" s="9">
        <f t="shared" si="5"/>
        <v>208.75</v>
      </c>
    </row>
    <row r="32" spans="1:6">
      <c r="A32" s="5" t="s">
        <v>45</v>
      </c>
      <c r="B32" s="6" t="s">
        <v>5</v>
      </c>
      <c r="C32" s="5" t="s">
        <v>70</v>
      </c>
      <c r="D32" s="5">
        <v>31</v>
      </c>
      <c r="E32" s="9">
        <f t="shared" si="4"/>
        <v>208.75</v>
      </c>
      <c r="F32" s="9">
        <f t="shared" si="5"/>
        <v>215.75</v>
      </c>
    </row>
    <row r="33" spans="1:8">
      <c r="A33" s="5" t="s">
        <v>46</v>
      </c>
      <c r="B33" s="6" t="s">
        <v>5</v>
      </c>
      <c r="C33" s="5" t="s">
        <v>70</v>
      </c>
      <c r="D33" s="5">
        <v>32</v>
      </c>
      <c r="E33" s="9">
        <f t="shared" si="4"/>
        <v>215.75</v>
      </c>
      <c r="F33" s="9">
        <f t="shared" si="5"/>
        <v>222.75</v>
      </c>
    </row>
    <row r="34" spans="1:8">
      <c r="A34" s="5" t="s">
        <v>47</v>
      </c>
      <c r="B34" s="6" t="s">
        <v>5</v>
      </c>
      <c r="C34" s="5" t="s">
        <v>70</v>
      </c>
      <c r="D34" s="5">
        <v>33</v>
      </c>
      <c r="E34" s="9">
        <f t="shared" si="4"/>
        <v>222.75</v>
      </c>
      <c r="F34" s="9">
        <f t="shared" si="5"/>
        <v>229.75</v>
      </c>
    </row>
    <row r="35" spans="1:8">
      <c r="A35" s="5" t="s">
        <v>48</v>
      </c>
      <c r="B35" s="6" t="s">
        <v>5</v>
      </c>
      <c r="C35" s="5" t="s">
        <v>70</v>
      </c>
      <c r="D35" s="5">
        <v>34</v>
      </c>
      <c r="E35" s="9">
        <f t="shared" si="4"/>
        <v>229.75</v>
      </c>
      <c r="F35" s="9">
        <f t="shared" si="5"/>
        <v>236.75</v>
      </c>
    </row>
    <row r="36" spans="1:8">
      <c r="A36" s="5" t="s">
        <v>49</v>
      </c>
      <c r="B36" s="6" t="s">
        <v>5</v>
      </c>
      <c r="C36" s="5" t="s">
        <v>70</v>
      </c>
      <c r="D36" s="5">
        <v>35</v>
      </c>
      <c r="E36" s="9">
        <f t="shared" si="4"/>
        <v>236.75</v>
      </c>
      <c r="F36" s="9">
        <f t="shared" si="5"/>
        <v>243.75</v>
      </c>
    </row>
    <row r="37" spans="1:8">
      <c r="A37" s="5" t="s">
        <v>50</v>
      </c>
      <c r="B37" s="6" t="s">
        <v>5</v>
      </c>
      <c r="C37" s="5" t="s">
        <v>70</v>
      </c>
      <c r="D37" s="5">
        <v>36</v>
      </c>
      <c r="E37" s="9">
        <f t="shared" si="4"/>
        <v>243.75</v>
      </c>
      <c r="F37" s="9">
        <f t="shared" si="5"/>
        <v>250.75</v>
      </c>
    </row>
    <row r="38" spans="1:8">
      <c r="A38" s="5" t="s">
        <v>51</v>
      </c>
      <c r="B38" s="6" t="s">
        <v>5</v>
      </c>
      <c r="C38" s="5" t="s">
        <v>70</v>
      </c>
      <c r="D38" s="5">
        <v>37</v>
      </c>
      <c r="E38" s="9">
        <f t="shared" si="4"/>
        <v>250.75</v>
      </c>
      <c r="F38" s="9">
        <f t="shared" si="5"/>
        <v>257.75</v>
      </c>
    </row>
    <row r="39" spans="1:8">
      <c r="A39" s="5" t="s">
        <v>52</v>
      </c>
      <c r="B39" s="6" t="s">
        <v>5</v>
      </c>
      <c r="C39" s="5" t="s">
        <v>70</v>
      </c>
      <c r="D39" s="5">
        <v>38</v>
      </c>
      <c r="E39" s="9">
        <f t="shared" si="4"/>
        <v>257.75</v>
      </c>
      <c r="F39" s="9">
        <f t="shared" si="5"/>
        <v>264.75</v>
      </c>
    </row>
    <row r="40" spans="1:8">
      <c r="A40" s="5" t="s">
        <v>53</v>
      </c>
      <c r="B40" s="6" t="s">
        <v>5</v>
      </c>
      <c r="C40" s="5" t="s">
        <v>70</v>
      </c>
      <c r="D40" s="5">
        <v>39</v>
      </c>
      <c r="E40" s="9">
        <f t="shared" si="4"/>
        <v>264.75</v>
      </c>
      <c r="F40" s="9">
        <f t="shared" si="5"/>
        <v>271.75</v>
      </c>
    </row>
    <row r="41" spans="1:8">
      <c r="A41" s="5" t="s">
        <v>54</v>
      </c>
      <c r="B41" s="6" t="s">
        <v>5</v>
      </c>
      <c r="C41" s="5" t="s">
        <v>70</v>
      </c>
      <c r="D41" s="5">
        <v>40</v>
      </c>
      <c r="E41" s="9">
        <f t="shared" si="4"/>
        <v>271.75</v>
      </c>
      <c r="F41" s="9">
        <f t="shared" si="5"/>
        <v>278.75</v>
      </c>
    </row>
    <row r="42" spans="1:8">
      <c r="A42" s="5" t="s">
        <v>55</v>
      </c>
      <c r="B42" s="6" t="s">
        <v>5</v>
      </c>
      <c r="C42" s="5" t="s">
        <v>70</v>
      </c>
      <c r="D42" s="5">
        <v>41</v>
      </c>
      <c r="E42" s="9">
        <f t="shared" si="4"/>
        <v>278.75</v>
      </c>
      <c r="F42" s="9">
        <f t="shared" si="5"/>
        <v>285.75</v>
      </c>
    </row>
    <row r="43" spans="1:8">
      <c r="A43" s="5" t="s">
        <v>56</v>
      </c>
      <c r="B43" s="6" t="s">
        <v>5</v>
      </c>
      <c r="C43" s="5" t="s">
        <v>70</v>
      </c>
      <c r="D43" s="5">
        <v>42</v>
      </c>
      <c r="E43" s="9">
        <f t="shared" si="4"/>
        <v>285.75</v>
      </c>
      <c r="F43" s="9">
        <f t="shared" si="5"/>
        <v>292.75</v>
      </c>
    </row>
    <row r="44" spans="1:8">
      <c r="A44" s="5" t="s">
        <v>57</v>
      </c>
      <c r="B44" s="6" t="s">
        <v>5</v>
      </c>
      <c r="C44" s="5" t="s">
        <v>70</v>
      </c>
      <c r="D44" s="5">
        <v>43</v>
      </c>
      <c r="E44" s="9">
        <f t="shared" si="4"/>
        <v>292.75</v>
      </c>
      <c r="F44" s="9">
        <f t="shared" si="5"/>
        <v>299.75</v>
      </c>
    </row>
    <row r="45" spans="1:8">
      <c r="A45" s="5" t="s">
        <v>58</v>
      </c>
      <c r="B45" s="6" t="s">
        <v>5</v>
      </c>
      <c r="C45" s="5" t="s">
        <v>70</v>
      </c>
      <c r="D45" s="5">
        <v>44</v>
      </c>
      <c r="E45" s="9">
        <f t="shared" si="4"/>
        <v>299.75</v>
      </c>
      <c r="F45" s="9">
        <f t="shared" si="5"/>
        <v>306.75</v>
      </c>
    </row>
    <row r="46" spans="1:8">
      <c r="A46" s="5" t="s">
        <v>59</v>
      </c>
      <c r="B46" s="6" t="s">
        <v>5</v>
      </c>
      <c r="C46" s="5" t="s">
        <v>70</v>
      </c>
      <c r="D46" s="5">
        <v>45</v>
      </c>
      <c r="E46" s="9">
        <f t="shared" si="4"/>
        <v>306.75</v>
      </c>
      <c r="F46" s="9">
        <f t="shared" si="5"/>
        <v>313.75</v>
      </c>
    </row>
    <row r="47" spans="1:8">
      <c r="A47" s="5" t="s">
        <v>60</v>
      </c>
      <c r="B47" s="6" t="s">
        <v>5</v>
      </c>
      <c r="C47" s="5" t="s">
        <v>70</v>
      </c>
      <c r="D47" s="5">
        <v>46</v>
      </c>
      <c r="E47" s="9">
        <f t="shared" si="4"/>
        <v>313.75</v>
      </c>
      <c r="F47" s="9">
        <f t="shared" si="5"/>
        <v>320.75</v>
      </c>
      <c r="H47" s="10"/>
    </row>
    <row r="48" spans="1:8">
      <c r="A48" s="5" t="s">
        <v>61</v>
      </c>
      <c r="B48" s="6" t="s">
        <v>5</v>
      </c>
      <c r="C48" s="5" t="s">
        <v>70</v>
      </c>
      <c r="D48" s="5">
        <v>47</v>
      </c>
      <c r="E48" s="9">
        <f t="shared" si="4"/>
        <v>320.75</v>
      </c>
      <c r="F48" s="9">
        <f t="shared" si="5"/>
        <v>327.75</v>
      </c>
    </row>
    <row r="49" spans="1:6">
      <c r="A49" s="5" t="s">
        <v>62</v>
      </c>
      <c r="B49" s="6" t="s">
        <v>5</v>
      </c>
      <c r="C49" s="5" t="s">
        <v>70</v>
      </c>
      <c r="D49" s="5">
        <v>48</v>
      </c>
      <c r="E49" s="9">
        <f t="shared" si="4"/>
        <v>327.75</v>
      </c>
      <c r="F49" s="9">
        <f t="shared" si="5"/>
        <v>334.75</v>
      </c>
    </row>
    <row r="50" spans="1:6">
      <c r="A50" s="5" t="s">
        <v>63</v>
      </c>
      <c r="B50" s="6" t="s">
        <v>5</v>
      </c>
      <c r="C50" s="5" t="s">
        <v>70</v>
      </c>
      <c r="D50" s="5">
        <v>49</v>
      </c>
      <c r="E50" s="9">
        <f t="shared" si="4"/>
        <v>334.75</v>
      </c>
      <c r="F50" s="9">
        <f t="shared" si="5"/>
        <v>341.75</v>
      </c>
    </row>
    <row r="51" spans="1:6">
      <c r="A51" s="5" t="s">
        <v>64</v>
      </c>
      <c r="B51" s="6" t="s">
        <v>5</v>
      </c>
      <c r="C51" s="5" t="s">
        <v>70</v>
      </c>
      <c r="D51" s="5">
        <v>50</v>
      </c>
      <c r="E51" s="9">
        <f t="shared" si="4"/>
        <v>341.75</v>
      </c>
      <c r="F51" s="9">
        <f t="shared" si="5"/>
        <v>348.75</v>
      </c>
    </row>
    <row r="52" spans="1:6">
      <c r="A52" s="5" t="s">
        <v>65</v>
      </c>
      <c r="B52" s="6" t="s">
        <v>5</v>
      </c>
      <c r="C52" s="5" t="s">
        <v>70</v>
      </c>
      <c r="D52" s="5">
        <v>51</v>
      </c>
      <c r="E52" s="9">
        <f t="shared" si="4"/>
        <v>348.75</v>
      </c>
      <c r="F52" s="9">
        <f t="shared" si="5"/>
        <v>355.75</v>
      </c>
    </row>
    <row r="53" spans="1:6">
      <c r="A53" s="5" t="s">
        <v>66</v>
      </c>
      <c r="B53" s="6" t="s">
        <v>5</v>
      </c>
      <c r="C53" s="5" t="s">
        <v>70</v>
      </c>
      <c r="D53" s="5">
        <v>52</v>
      </c>
      <c r="E53" s="9">
        <f t="shared" si="4"/>
        <v>355.75</v>
      </c>
      <c r="F53" s="9">
        <f t="shared" si="5"/>
        <v>362.75</v>
      </c>
    </row>
    <row r="54" spans="1:6">
      <c r="A54" s="5" t="s">
        <v>67</v>
      </c>
      <c r="B54" s="6" t="s">
        <v>5</v>
      </c>
      <c r="C54" s="5" t="s">
        <v>70</v>
      </c>
      <c r="D54" s="5">
        <v>53</v>
      </c>
      <c r="E54" s="9">
        <f t="shared" si="4"/>
        <v>362.75</v>
      </c>
      <c r="F54" s="9">
        <f t="shared" si="5"/>
        <v>369.75</v>
      </c>
    </row>
    <row r="55" spans="1:6">
      <c r="A55" s="5" t="s">
        <v>68</v>
      </c>
      <c r="B55" s="6" t="s">
        <v>5</v>
      </c>
      <c r="C55" s="5" t="s">
        <v>70</v>
      </c>
      <c r="D55" s="5">
        <v>54</v>
      </c>
      <c r="E55" s="9">
        <f>F55-7</f>
        <v>369.75</v>
      </c>
      <c r="F55" s="9">
        <f>E56</f>
        <v>376.75</v>
      </c>
    </row>
    <row r="56" spans="1:6">
      <c r="A56" s="5" t="s">
        <v>69</v>
      </c>
      <c r="B56" s="6" t="s">
        <v>5</v>
      </c>
      <c r="C56" s="5" t="s">
        <v>70</v>
      </c>
      <c r="D56" s="5">
        <v>55</v>
      </c>
      <c r="E56" s="9">
        <f>F56-6</f>
        <v>376.75</v>
      </c>
      <c r="F56" s="9">
        <v>382.75</v>
      </c>
    </row>
    <row r="57" spans="1:6">
      <c r="A57" s="5"/>
      <c r="B57" s="6"/>
      <c r="C57" s="5"/>
      <c r="D57" s="5"/>
      <c r="E57" s="9"/>
      <c r="F57" s="9"/>
    </row>
    <row r="58" spans="1:6">
      <c r="A58" s="5"/>
      <c r="B58" s="6"/>
      <c r="C58" s="5"/>
      <c r="D58" s="5"/>
      <c r="E58" s="9"/>
      <c r="F58" s="9"/>
    </row>
    <row r="59" spans="1:6">
      <c r="A59" s="5"/>
      <c r="B59" s="6"/>
      <c r="C59" s="5"/>
      <c r="D59" s="5"/>
      <c r="E59" s="9"/>
      <c r="F59" s="9"/>
    </row>
    <row r="60" spans="1:6">
      <c r="A60" s="5"/>
      <c r="B60" s="6"/>
      <c r="C60" s="5"/>
      <c r="D60" s="5"/>
      <c r="E60" s="9"/>
      <c r="F60" s="9"/>
    </row>
    <row r="61" spans="1:6">
      <c r="A61" s="5"/>
      <c r="B61" s="6"/>
      <c r="C61" s="5"/>
      <c r="D61" s="5"/>
      <c r="E61" s="9"/>
      <c r="F61" s="9"/>
    </row>
    <row r="62" spans="1:6">
      <c r="A62" s="5"/>
      <c r="B62" s="6"/>
      <c r="C62" s="5"/>
      <c r="D62" s="5"/>
      <c r="E62" s="9"/>
      <c r="F62" s="9"/>
    </row>
    <row r="63" spans="1:6">
      <c r="A63" s="5"/>
      <c r="B63" s="6"/>
      <c r="C63" s="5"/>
      <c r="D63" s="5"/>
      <c r="E63" s="9"/>
      <c r="F63" s="9"/>
    </row>
    <row r="64" spans="1:6">
      <c r="A64" s="5"/>
      <c r="B64" s="6"/>
      <c r="C64" s="5"/>
      <c r="D64" s="5"/>
      <c r="E64" s="9"/>
      <c r="F64" s="9"/>
    </row>
    <row r="65" spans="1:6">
      <c r="A65" s="5"/>
      <c r="B65" s="6"/>
      <c r="C65" s="5"/>
      <c r="D65" s="5"/>
      <c r="E65" s="9"/>
      <c r="F65" s="9"/>
    </row>
    <row r="66" spans="1:6">
      <c r="A66" s="5"/>
      <c r="B66" s="6"/>
      <c r="C66" s="5"/>
      <c r="D66" s="5"/>
      <c r="E66" s="9"/>
      <c r="F66" s="9"/>
    </row>
    <row r="67" spans="1:6">
      <c r="A67" s="5"/>
      <c r="B67" s="6"/>
      <c r="C67" s="5"/>
      <c r="D67" s="5"/>
      <c r="E67" s="9"/>
      <c r="F67" s="9"/>
    </row>
    <row r="68" spans="1:6">
      <c r="A68" s="5"/>
      <c r="B68" s="6"/>
      <c r="C68" s="5"/>
      <c r="D68" s="5"/>
      <c r="E68" s="9"/>
      <c r="F68" s="9"/>
    </row>
    <row r="69" spans="1:6">
      <c r="A69" s="5"/>
      <c r="B69" s="6"/>
      <c r="C69" s="5"/>
      <c r="D69" s="5"/>
      <c r="E69" s="9"/>
      <c r="F69" s="9"/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Normal="100" workbookViewId="0">
      <selection activeCell="B24" sqref="B24"/>
    </sheetView>
  </sheetViews>
  <sheetFormatPr defaultColWidth="8.6328125" defaultRowHeight="14.5"/>
  <cols>
    <col min="1" max="1" width="22" customWidth="1"/>
    <col min="2" max="2" width="60" customWidth="1"/>
  </cols>
  <sheetData>
    <row r="1" spans="1:2">
      <c r="A1" s="2" t="s">
        <v>6</v>
      </c>
      <c r="B1" s="2" t="s">
        <v>7</v>
      </c>
    </row>
    <row r="2" spans="1:2">
      <c r="A2" s="3" t="s">
        <v>0</v>
      </c>
      <c r="B2" s="3" t="s">
        <v>8</v>
      </c>
    </row>
    <row r="3" spans="1:2">
      <c r="A3" s="3" t="s">
        <v>1</v>
      </c>
      <c r="B3" s="3" t="s">
        <v>9</v>
      </c>
    </row>
    <row r="4" spans="1:2">
      <c r="A4" s="3" t="s">
        <v>2</v>
      </c>
      <c r="B4" s="3" t="s">
        <v>10</v>
      </c>
    </row>
    <row r="5" spans="1:2">
      <c r="A5" s="3" t="s">
        <v>3</v>
      </c>
      <c r="B5" s="3" t="s">
        <v>11</v>
      </c>
    </row>
    <row r="6" spans="1:2" ht="16.5">
      <c r="A6" s="4" t="s">
        <v>13</v>
      </c>
      <c r="B6" s="3" t="s">
        <v>12</v>
      </c>
    </row>
  </sheetData>
  <phoneticPr fontId="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数据表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炎 青</cp:lastModifiedBy>
  <cp:revision>0</cp:revision>
  <dcterms:created xsi:type="dcterms:W3CDTF">2026-07-19T03:23:12Z</dcterms:created>
  <dcterms:modified xsi:type="dcterms:W3CDTF">2026-07-20T04:58:57Z</dcterms:modified>
  <dc:language>en-US</dc:language>
</cp:coreProperties>
</file>